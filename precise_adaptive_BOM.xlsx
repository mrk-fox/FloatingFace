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char\Desktop\"/>
    </mc:Choice>
  </mc:AlternateContent>
  <xr:revisionPtr revIDLastSave="0" documentId="13_ncr:1_{CBB0F957-70F9-4562-BB56-8C4DAC559E17}" xr6:coauthVersionLast="47" xr6:coauthVersionMax="47" xr10:uidLastSave="{00000000-0000-0000-0000-000000000000}"/>
  <bookViews>
    <workbookView xWindow="-120" yWindow="-120" windowWidth="29040" windowHeight="17640" xr2:uid="{65A387F2-4D39-4CDA-A8A0-A4AD32069B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5" i="1" l="1"/>
  <c r="G19" i="1"/>
  <c r="G20" i="1"/>
  <c r="F20" i="1"/>
  <c r="F19" i="1"/>
  <c r="E20" i="1"/>
  <c r="E19" i="1"/>
</calcChain>
</file>

<file path=xl/sharedStrings.xml><?xml version="1.0" encoding="utf-8"?>
<sst xmlns="http://schemas.openxmlformats.org/spreadsheetml/2006/main" count="58" uniqueCount="47">
  <si>
    <t>Id</t>
  </si>
  <si>
    <t>Part</t>
  </si>
  <si>
    <t>Amount</t>
  </si>
  <si>
    <t>Link</t>
  </si>
  <si>
    <t>Price</t>
  </si>
  <si>
    <t>695 Bearing</t>
  </si>
  <si>
    <t>https://www.waveshare.com/st3215-servo.htm?sku=22414</t>
  </si>
  <si>
    <t>https://www.waveshare.com/product/modules/motors-servos/drivers/bus-servo-adapter-a.htm</t>
  </si>
  <si>
    <t>ST3215 Waveshare</t>
  </si>
  <si>
    <t>Serial Bus Servo Driver Board</t>
  </si>
  <si>
    <t>link</t>
  </si>
  <si>
    <t>Note</t>
  </si>
  <si>
    <t>4 is cheaper than 3</t>
  </si>
  <si>
    <t>U-Light Sensor</t>
  </si>
  <si>
    <t>TMC2209 Drivers</t>
  </si>
  <si>
    <t>AS5600 Magnetic Encodes</t>
  </si>
  <si>
    <t>900mm 2020 Profile</t>
  </si>
  <si>
    <t>delta_drive v1.1</t>
  </si>
  <si>
    <t>smallest order qty</t>
  </si>
  <si>
    <t>Delivery</t>
  </si>
  <si>
    <t>10x10x5 Neodym magnets</t>
  </si>
  <si>
    <t>Cheaper magnets have not the necessary documentation and polarity</t>
  </si>
  <si>
    <t>ESP32-S3-DevKitC-1</t>
  </si>
  <si>
    <t>TCA9548A</t>
  </si>
  <si>
    <t>MPU 5060</t>
  </si>
  <si>
    <t>NEMA17 0.5Nm</t>
  </si>
  <si>
    <t>already got some</t>
  </si>
  <si>
    <t>1kg ABS</t>
  </si>
  <si>
    <t>https://eu.store.bambulab.com/de/products/abs-filament?id=46963746046300</t>
  </si>
  <si>
    <t>EUR/USD exchange:</t>
  </si>
  <si>
    <t>SUM:</t>
  </si>
  <si>
    <t>all EUR entries</t>
  </si>
  <si>
    <t xml:space="preserve"> all USD entries</t>
  </si>
  <si>
    <t>JLCPCB, see picture on github</t>
  </si>
  <si>
    <t>Clearext link</t>
  </si>
  <si>
    <t>https://de.aliexpress.com/item/1005009937401862.html?spm=a2g0o.productlist.main.4.cb61401ceMMjtx&amp;aem_p4p_detail=202604020845493679178023787520000280682&amp;algo_pvid=4a4d7f42-c1e6-4f5e-8e9c-bfea2c59b040&amp;algo_exp_id=4a4d7f42-c1e6-4f5e-8e9c-bfea2c59b040-3&amp;pdp_ext_f=%7B%22order%22%3A%22131%22%2C%22eval%22%3A%221%22%2C%22fromPage%22%3A%22search%22%7D&amp;pdp_npi=6%40dis%21USD%216.37%213.76%21%21%2143.65%2125.75%21%40211b441e17751447491191685eadef%2112000050626277506%21sea%21DE%216460708004%21ABX%211%210%21n_tag%3A-29910%3Bd%3A22b10654%3Bm03_new_user%3A-29895&amp;curPageLogUid=iGQIs28VYHNF&amp;utparam-url=scene%3Asearch%7Cquery_from%3A%7Cx_object_id%3A1005009937401862%7C_p_origin_prod%3A&amp;search_p4p_id=202604020845493679178023787520000280682_1</t>
  </si>
  <si>
    <t>https://de.aliexpress.com/item/33028050145.html?spm=a2g0o.productlist.main.1.5e4a7484I6LrM1&amp;algo_pvid=ffde3094-8e33-4226-aed8-0b3ce3b308a9&amp;algo_exp_id=ffde3094-8e33-4226-aed8-0b3ce3b308a9-0&amp;pdp_ext_f=%7B%22order%22%3A%223680%22%2C%22spu_best_type%22%3A%22price%22%2C%22eval%22%3A%221%22%2C%22fromPage%22%3A%22search%22%7D&amp;pdp_npi=6%40dis%21EUR%214.61%210.88%21%21%215.19%210.99%21%40211b431017747194215828384edd55%2112000041238691049%21sea%21DE%216460708004%21ABX%211%210%21n_tag%3A-29910%3Bd%3A22b10654%3Bm03_new_user%3A-29895%3BpisId%3A5000000197988611&amp;curPageLogUid=4GoKWEk5BzJV&amp;utparam-url=scene%3Asearch%7Cquery_from%3A%7Cx_object_id%3A33028050145%7C_p_origin_prod%3A</t>
  </si>
  <si>
    <t>https://www.ebay.de/itm/186710458751?chn=ps&amp;_ul=DE&amp;var=694754011749&amp;norover=1&amp;mkevt=1&amp;mkrid=707-166974-037691-2&amp;mkcid=2&amp;mkscid=101&amp;itemid=694754011749_186710458751&amp;targetid=2274951440814&amp;device=c&amp;mktype=pla&amp;googleloc=9043964&amp;poi=&amp;campaignid=22095905896&amp;mkgroupid=176089640307&amp;rlsatarget=pla-2274951440814&amp;abcId=10151607&amp;merchantid=5467923730&amp;geoid=9043964&amp;gad_source=1&amp;gad_campaignid=22095905896&amp;gbraid=0AAAAAD_G4xb3MaBuQpp5-NF1Mj2jr2XEW&amp;gclid=Cj0KCQjwp7jOBhDGARIsABe7C4eZrM0VsTCjGpJn2FIXJ42f8_FJYpfHGHv4cLg9mvJXN-oshULE9LQaAinAEALw_wcB</t>
  </si>
  <si>
    <t>https://www.reichelt.de/de/de/shop/produkt/entwicklerboards_-_lichtschranken-zaehler-282555?PROVID=2788&amp;gad_source=1&amp;gad_campaignid=18342381572&amp;gbraid=0AAAAADwnxtY4QoXHZeSRj_YQZpw1_I3HL&amp;gclid=CjwKCAjwvqjOBhAGEiwAngeQnUXZgGvsGvOm7lG9II87Z1wjsWUdqJVnYB0Rr4IjoQgIyEQnnqKflBoCo4YQAvD_BwE</t>
  </si>
  <si>
    <t>https://www.mtsmagnete.de/neodym-quader-magnete/quader-10mm-19mm/neodym-quadermagnet-10x10x5mm-neodym-beschichtung-grade-n45-magnetisiert-durch-5mm/a-2890/?ReferrerID=13&amp;gad_source=1&amp;gad_campaignid=21249616227&amp;gbraid=0AAAAADwDoowZvOoVUnYe6jItQ3B0ME6E9&amp;gclid=CjwKCAjwvqjOBhAGEiwAngeQnbmSshaGV7x5jKac5awHnQgPc2SYVbYD76EYpkBMAvTYsqUXHywgdxoCo48QAvD_BwE</t>
  </si>
  <si>
    <t>https://www.ebay.de/itm/264788915825?_skw=AS5600+Magnetic+Encodes&amp;itmmeta=01KN7DF4Z81E5T057NKDKG36DB&amp;hash=item3da6a63671:g:ovcAAOSwaM9fO6OR&amp;itmprp=enc%3AAQALAAAA8GfYFPkwiKCW4ZNSs2u11xAABp6pZl3a%2Bz85sROWXuvWZI3HxhijpytRxj5rnrglrrEeB%2FYQR9LJ1nbsTz6rkWIZccihB9rfiAeHq1gUKL7%2BP%2BK39HrxSu%2Bg0optJitHfVQkPM%2FY0clsOkQOZJmfwz35pELPTPm8u3%2BXFlKIFE0Ht9geTdj5DXLZPPTlwEF4K3txDf9zcgO6cq9b8ZfwaidpaNkvB8kW2dymtvQ04I2P9BveuG3H77JG6bMs05bigCEZNo%2B1o27Zqm4k9GQfNB%2F2xVUYy9LsLL9zYEjTtzkxY5BfM9q3rVzJkseVdwEH8Q%3D%3D%7Ctkp%3ABk9SR8bQvO2pZw</t>
  </si>
  <si>
    <t>https://de.aliexpress.com/item/1005009026897112.html?spm=a2g0o.productlist.main.4.6927a271Gcw2BX&amp;aem_p4p_detail=202604020909277048115151570540000294392&amp;algo_pvid=30dcd07c-13ea-40ed-a7cf-5b799d9a0228&amp;algo_exp_id=30dcd07c-13ea-40ed-a7cf-5b799d9a0228-3&amp;pdp_ext_f=%7B%22order%22%3A%22719%22%2C%22eval%22%3A%221%22%2C%22fromPage%22%3A%22search%22%7D&amp;pdp_npi=6%40dis%21USD%217.46%217.46%21%21%2151.13%2151.13%21%402103835e17751461673712297ec907%2112000047632308563%21sea%21DE%216460708004%21ABX%211%210%21n_tag%3A-29910%3Bd%3A22b10654%3Bm03_new_user%3A-29895&amp;curPageLogUid=WkOrsh7gSksT&amp;utparam-url=scene%3Asearch%7Cquery_from%3A%7Cx_object_id%3A1005009026897112%7C_p_origin_prod%3A&amp;search_p4p_id=202604020909277048115151570540000294392_1</t>
  </si>
  <si>
    <t>https://de.aliexpress.com/item/1005004996004241.html?spm=a2g0o.tesla.0.0.4c31WY8cWY8c8x&amp;pdp_npi=6%40dis%21USD%21US%20%241.57%21US%20%241.52%21%21%21%21%21%40211b441e17751463669775480eaded%2112000031285879805%21btfpre%21%21%21%211%210%21&amp;afTraceInfo=1005004996004241__pc__c_ppc_item_bridge_pc_main__7bXom6h__1775146367081&amp;gatewayAdapt=glo2deu</t>
  </si>
  <si>
    <t>https://de.aliexpress.com/item/1005008796700745.html?spm=a2g0o.productlist.main.1.5c2a2cfffrFqaQ&amp;algo_pvid=37f855a5-ec26-48b2-bf81-7191c8963b99&amp;algo_exp_id=37f855a5-ec26-48b2-bf81-7191c8963b99-0&amp;pdp_ext_f=%7B%22order%22%3A%22141%22%2C%22eval%22%3A%221%22%2C%22fromPage%22%3A%22search%22%7D&amp;pdp_npi=6%40dis%21USD%212.41%211.17%21%21%2116.49%218.00%21%402103890917751466711735602ef05b%2112000046702043861%21sea%21DE%216460708004%21ABX%211%210%21n_tag%3A-29910%3Bd%3A22b10654%3Bm03_new_user%3A-29895%3BpisId%3A5000000197700199&amp;curPageLogUid=eBqQMOrF5utz&amp;utparam-url=scene%3Asearch%7Cquery_from%3A%7Cx_object_id%3A1005008796700745%7C_p_origin_prod%3A</t>
  </si>
  <si>
    <t>https://jlcpcb.com/</t>
  </si>
  <si>
    <t>https://de.aliexpress.com/item/1005011852081384.html?src=google&amp;snpsid=1&amp;snps=y&amp;src=google&amp;albch=shopping&amp;acnt=752-015-9270&amp;isdl=y&amp;slnk=&amp;plac=&amp;mtctp=&amp;albbt=Google_7_shopping&amp;aff_platform=google&amp;aff_short_key=_oDc8nzq&amp;gclsrc=aw.ds&amp;&amp;albagn=888888&amp;&amp;ds_e_adid=802291250831&amp;ds_e_matchtype=search&amp;ds_e_device=c&amp;ds_e_network=g&amp;ds_e_product_group_id=2474049502526&amp;ds_e_product_id=de1005011852081384&amp;ds_e_product_merchant_id=5551326180&amp;ds_e_product_country=DE&amp;ds_e_product_language=de&amp;ds_e_product_channel=online&amp;ds_e_product_store_id=&amp;ds_url_v=2&amp;albcp=23693559800&amp;albag=198564683670&amp;isSmbAutoCall=false&amp;needSmbHouyi=false&amp;gad_source=1&amp;gad_campaignid=23693559800&amp;gbraid=0AAAAA_eFwRDkVQYrjtVH2uL3RDpkrbPpJ&amp;gclid=Cj0KCQjwp7jOBhDGARIsABe7C4dow4ZfyCkrtOEkxw4oNDrqifpFx-02mLqD6LDAvl7PwQIOeM0YJy4aAr3LEALw_wcB</t>
  </si>
  <si>
    <t>$12.27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</si>
</sst>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#,##0\ &quot;€&quot;;[Red]\-#,##0\ &quot;€&quot;"/>
    <numFmt numFmtId="8" formatCode="#,##0.00\ &quot;€&quot;;[Red]\-#,##0.00\ &quot;€&quot;"/>
    <numFmt numFmtId="44" formatCode="_-* #,##0.00\ &quot;€&quot;_-;\-* #,##0.00\ &quot;€&quot;_-;_-* &quot;-&quot;??\ &quot;€&quot;_-;_-@_-"/>
    <numFmt numFmtId="164" formatCode="[$$-409]#,##0.00"/>
    <numFmt numFmtId="165" formatCode="#,##0.00\ &quot;€&quot;"/>
    <numFmt numFmtId="166" formatCode="[$$-409]#,##0.00_ ;\-[$$-409]#,##0.00\ "/>
  </numFmts>
  <fonts count="5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191919"/>
      <name val="Arial"/>
      <family val="2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44" fontId="2" fillId="0" borderId="0" applyFont="0" applyFill="0" applyBorder="0" applyAlignment="0" applyProtection="0"/>
  </cellStyleXfs>
  <cellXfs count="13">
    <xf numFmtId="0" fontId="0" fillId="0" borderId="0" xfId="0"/>
    <xf numFmtId="0" fontId="1" fillId="0" borderId="0" xfId="1"/>
    <xf numFmtId="8" fontId="0" fillId="0" borderId="0" xfId="0" applyNumberFormat="1"/>
    <xf numFmtId="6" fontId="0" fillId="0" borderId="0" xfId="0" applyNumberFormat="1"/>
    <xf numFmtId="8" fontId="3" fillId="0" borderId="0" xfId="0" applyNumberFormat="1" applyFont="1"/>
    <xf numFmtId="9" fontId="0" fillId="0" borderId="0" xfId="0" applyNumberFormat="1"/>
    <xf numFmtId="0" fontId="0" fillId="0" borderId="0" xfId="0" applyAlignment="1">
      <alignment horizontal="right"/>
    </xf>
    <xf numFmtId="164" fontId="0" fillId="0" borderId="0" xfId="0" applyNumberFormat="1"/>
    <xf numFmtId="164" fontId="0" fillId="0" borderId="0" xfId="2" applyNumberFormat="1" applyFont="1"/>
    <xf numFmtId="165" fontId="0" fillId="0" borderId="0" xfId="0" applyNumberFormat="1"/>
    <xf numFmtId="166" fontId="0" fillId="0" borderId="0" xfId="0" applyNumberFormat="1"/>
    <xf numFmtId="0" fontId="4" fillId="0" borderId="0" xfId="0" applyFont="1"/>
    <xf numFmtId="17" fontId="0" fillId="0" borderId="0" xfId="0" applyNumberFormat="1"/>
  </cellXfs>
  <cellStyles count="3">
    <cellStyle name="Currency" xfId="2" builtinId="4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waveshare.com/product/modules/motors-servos/drivers/bus-servo-adapter-a.htm" TargetMode="External"/><Relationship Id="rId13" Type="http://schemas.openxmlformats.org/officeDocument/2006/relationships/printerSettings" Target="../printerSettings/printerSettings1.bin"/><Relationship Id="rId3" Type="http://schemas.openxmlformats.org/officeDocument/2006/relationships/hyperlink" Target="https://www.mtsmagnete.de/neodym-quader-magnete/quader-10mm-19mm/neodym-quadermagnet-10x10x5mm-neodym-beschichtung-grade-n45-magnetisiert-durch-5mm/a-2890/?ReferrerID=13&amp;gad_source=1&amp;gad_campaignid=21249616227&amp;gbraid=0AAAAADwDoowZvOoVUnYe6jItQ3B0ME6E9&amp;gclid=CjwKCAjwvqjOBhAGEiwAngeQnbmSshaGV7x5jKac5awHnQgPc2SYVbYD76EYpkBMAvTYsqUXHywgdxoCo48QAvD_BwE" TargetMode="External"/><Relationship Id="rId7" Type="http://schemas.openxmlformats.org/officeDocument/2006/relationships/hyperlink" Target="https://www.waveshare.com/st3215-servo.htm?sku=22414" TargetMode="External"/><Relationship Id="rId12" Type="http://schemas.openxmlformats.org/officeDocument/2006/relationships/hyperlink" Target="https://eu.store.bambulab.com/de/products/abs-filament?id=46963746046300" TargetMode="External"/><Relationship Id="rId2" Type="http://schemas.openxmlformats.org/officeDocument/2006/relationships/hyperlink" Target="https://www.reichelt.de/de/de/shop/produkt/entwicklerboards_-_lichtschranken-zaehler-282555?PROVID=2788&amp;gad_source=1&amp;gad_campaignid=18342381572&amp;gbraid=0AAAAADwnxtY4QoXHZeSRj_YQZpw1_I3HL&amp;gclid=CjwKCAjwvqjOBhAGEiwAngeQnUXZgGvsGvOm7lG9II87Z1wjsWUdqJVnYB0Rr4IjoQgIyEQnnqKflBoCo4YQAvD_BwE" TargetMode="External"/><Relationship Id="rId1" Type="http://schemas.openxmlformats.org/officeDocument/2006/relationships/hyperlink" Target="https://de.aliexpress.com/item/33028050145.html?spm=a2g0o.productlist.main.1.5e4a7484I6LrM1&amp;algo_pvid=ffde3094-8e33-4226-aed8-0b3ce3b308a9&amp;algo_exp_id=ffde3094-8e33-4226-aed8-0b3ce3b308a9-0&amp;pdp_ext_f=%7B%22order%22%3A%223680%22%2C%22spu_best_type%22%3A%22price%22%2C%22eval%22%3A%221%22%2C%22fromPage%22%3A%22search%22%7D&amp;pdp_npi=6%40dis%21EUR%214.61%210.88%21%21%215.19%210.99%21%40211b431017747194215828384edd55%2112000041238691049%21sea%21DE%216460708004%21ABX%211%210%21n_tag%3A-29910%3Bd%3A22b10654%3Bm03_new_user%3A-29895%3BpisId%3A5000000197988611&amp;curPageLogUid=4GoKWEk5BzJV&amp;utparam-url=scene%3Asearch%7Cquery_from%3A%7Cx_object_id%3A33028050145%7C_p_origin_prod%3A" TargetMode="External"/><Relationship Id="rId6" Type="http://schemas.openxmlformats.org/officeDocument/2006/relationships/hyperlink" Target="https://de.aliexpress.com/item/1005009937401862.html?spm=a2g0o.productlist.main.4.cb61401ceMMjtx&amp;aem_p4p_detail=202604020845493679178023787520000280682&amp;algo_pvid=4a4d7f42-c1e6-4f5e-8e9c-bfea2c59b040&amp;algo_exp_id=4a4d7f42-c1e6-4f5e-8e9c-bfea2c59b040-3&amp;pdp_ext_f=%7B%22order%22%3A%22131%22%2C%22eval%22%3A%221%22%2C%22fromPage%22%3A%22search%22%7D&amp;pdp_npi=6%40dis%21USD%216.37%213.76%21%21%2143.65%2125.75%21%40211b441e17751447491191685eadef%2112000050626277506%21sea%21DE%216460708004%21ABX%211%210%21n_tag%3A-29910%3Bd%3A22b10654%3Bm03_new_user%3A-29895&amp;curPageLogUid=iGQIs28VYHNF&amp;utparam-url=scene%3Asearch%7Cquery_from%3A%7Cx_object_id%3A1005009937401862%7C_p_origin_prod%3A&amp;search_p4p_id=202604020845493679178023787520000280682_1" TargetMode="External"/><Relationship Id="rId11" Type="http://schemas.openxmlformats.org/officeDocument/2006/relationships/hyperlink" Target="https://de.aliexpress.com/item/1005008796700745.html?spm=a2g0o.productlist.main.1.5c2a2cfffrFqaQ&amp;algo_pvid=37f855a5-ec26-48b2-bf81-7191c8963b99&amp;algo_exp_id=37f855a5-ec26-48b2-bf81-7191c8963b99-0&amp;pdp_ext_f=%7B%22order%22%3A%22141%22%2C%22eval%22%3A%221%22%2C%22fromPage%22%3A%22search%22%7D&amp;pdp_npi=6%40dis%21USD%212.41%211.17%21%21%2116.49%218.00%21%402103890917751466711735602ef05b%2112000046702043861%21sea%21DE%216460708004%21ABX%211%210%21n_tag%3A-29910%3Bd%3A22b10654%3Bm03_new_user%3A-29895%3BpisId%3A5000000197700199&amp;curPageLogUid=eBqQMOrF5utz&amp;utparam-url=scene%3Asearch%7Cquery_from%3A%7Cx_object_id%3A1005008796700745%7C_p_origin_prod%3A" TargetMode="External"/><Relationship Id="rId5" Type="http://schemas.openxmlformats.org/officeDocument/2006/relationships/hyperlink" Target="https://www.ebay.de/itm/264788915825?_skw=AS5600+Magnetic+Encodes&amp;itmmeta=01KN7DF4Z81E5T057NKDKG36DB&amp;hash=item3da6a63671:g:ovcAAOSwaM9fO6OR&amp;itmprp=enc%3AAQALAAAA8GfYFPkwiKCW4ZNSs2u11xAABp6pZl3a%2Bz85sROWXuvWZI3HxhijpytRxj5rnrglrrEeB%2FYQR9LJ1nbsTz6rkWIZccihB9rfiAeHq1gUKL7%2BP%2BK39HrxSu%2Bg0optJitHfVQkPM%2FY0clsOkQOZJmfwz35pELPTPm8u3%2BXFlKIFE0Ht9geTdj5DXLZPPTlwEF4K3txDf9zcgO6cq9b8ZfwaidpaNkvB8kW2dymtvQ04I2P9BveuG3H77JG6bMs05bigCEZNo%2B1o27Zqm4k9GQfNB%2F2xVUYy9LsLL9zYEjTtzkxY5BfM9q3rVzJkseVdwEH8Q%3D%3D%7Ctkp%3ABk9SR8bQvO2pZw" TargetMode="External"/><Relationship Id="rId10" Type="http://schemas.openxmlformats.org/officeDocument/2006/relationships/hyperlink" Target="https://de.aliexpress.com/item/1005004996004241.html?spm=a2g0o.tesla.0.0.4c31WY8cWY8c8x&amp;pdp_npi=6%40dis%21USD%21US%20%241.57%21US%20%241.52%21%21%21%21%21%40211b441e17751463669775480eaded%2112000031285879805%21btfpre%21%21%21%211%210%21&amp;afTraceInfo=1005004996004241__pc__c_ppc_item_bridge_pc_main__7bXom6h__1775146367081&amp;gatewayAdapt=glo2deu" TargetMode="External"/><Relationship Id="rId4" Type="http://schemas.openxmlformats.org/officeDocument/2006/relationships/hyperlink" Target="https://www.ebay.de/itm/186710458751?chn=ps&amp;_ul=DE&amp;var=694754011749&amp;norover=1&amp;mkevt=1&amp;mkrid=707-166974-037691-2&amp;mkcid=2&amp;mkscid=101&amp;itemid=694754011749_186710458751&amp;targetid=2274951440814&amp;device=c&amp;mktype=pla&amp;googleloc=9043964&amp;poi=&amp;campaignid=22095905896&amp;mkgroupid=176089640307&amp;rlsatarget=pla-2274951440814&amp;abcId=10151607&amp;merchantid=5467923730&amp;geoid=9043964&amp;gad_source=1&amp;gad_campaignid=22095905896&amp;gbraid=0AAAAAD_G4xb3MaBuQpp5-NF1Mj2jr2XEW&amp;gclid=Cj0KCQjwp7jOBhDGARIsABe7C4eZrM0VsTCjGpJn2FIXJ42f8_FJYpfHGHv4cLg9mvJXN-oshULE9LQaAinAEALw_wcB" TargetMode="External"/><Relationship Id="rId9" Type="http://schemas.openxmlformats.org/officeDocument/2006/relationships/hyperlink" Target="https://de.aliexpress.com/item/1005009026897112.html?spm=a2g0o.productlist.main.4.6927a271Gcw2BX&amp;aem_p4p_detail=202604020909277048115151570540000294392&amp;algo_pvid=30dcd07c-13ea-40ed-a7cf-5b799d9a0228&amp;algo_exp_id=30dcd07c-13ea-40ed-a7cf-5b799d9a0228-3&amp;pdp_ext_f=%7B%22order%22%3A%22719%22%2C%22eval%22%3A%221%22%2C%22fromPage%22%3A%22search%22%7D&amp;pdp_npi=6%40dis%21USD%217.46%217.46%21%21%2151.13%2151.13%21%402103835e17751461673712297ec907%2112000047632308563%21sea%21DE%216460708004%21ABX%211%210%21n_tag%3A-29910%3Bd%3A22b10654%3Bm03_new_user%3A-29895&amp;curPageLogUid=WkOrsh7gSksT&amp;utparam-url=scene%3Asearch%7Cquery_from%3A%7Cx_object_id%3A1005009026897112%7C_p_origin_prod%3A&amp;search_p4p_id=202604020909277048115151570540000294392_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30265-E512-4083-959E-E259C2CF6DF4}">
  <dimension ref="A1:H26"/>
  <sheetViews>
    <sheetView tabSelected="1" topLeftCell="C1" workbookViewId="0">
      <selection activeCell="D12" sqref="D12"/>
    </sheetView>
  </sheetViews>
  <sheetFormatPr defaultRowHeight="15" x14ac:dyDescent="0.25"/>
  <cols>
    <col min="1" max="1" width="6.28515625" customWidth="1"/>
    <col min="2" max="2" width="30.5703125" customWidth="1"/>
    <col min="3" max="3" width="22.140625" customWidth="1"/>
    <col min="4" max="4" width="98.28515625" customWidth="1"/>
    <col min="5" max="6" width="24.140625" customWidth="1"/>
    <col min="7" max="7" width="61.855468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19</v>
      </c>
      <c r="G1" t="s">
        <v>11</v>
      </c>
      <c r="H1" t="s">
        <v>34</v>
      </c>
    </row>
    <row r="2" spans="1:8" x14ac:dyDescent="0.25">
      <c r="A2">
        <v>1</v>
      </c>
      <c r="B2" t="s">
        <v>5</v>
      </c>
      <c r="C2">
        <v>15</v>
      </c>
      <c r="D2" t="s">
        <v>35</v>
      </c>
      <c r="E2" s="7">
        <v>5.13</v>
      </c>
      <c r="F2" s="7">
        <v>1.65</v>
      </c>
      <c r="H2" s="1" t="s">
        <v>10</v>
      </c>
    </row>
    <row r="3" spans="1:8" x14ac:dyDescent="0.25">
      <c r="A3">
        <v>2</v>
      </c>
      <c r="B3" t="s">
        <v>8</v>
      </c>
      <c r="C3">
        <v>1</v>
      </c>
      <c r="D3" t="s">
        <v>6</v>
      </c>
      <c r="E3" s="7">
        <v>2.99</v>
      </c>
      <c r="F3" s="7"/>
      <c r="H3" s="1" t="s">
        <v>6</v>
      </c>
    </row>
    <row r="4" spans="1:8" x14ac:dyDescent="0.25">
      <c r="A4">
        <v>3</v>
      </c>
      <c r="B4" t="s">
        <v>9</v>
      </c>
      <c r="C4">
        <v>1</v>
      </c>
      <c r="D4" t="s">
        <v>7</v>
      </c>
      <c r="E4" s="7">
        <v>4.99</v>
      </c>
      <c r="F4" s="7">
        <v>5</v>
      </c>
      <c r="H4" s="1" t="s">
        <v>7</v>
      </c>
    </row>
    <row r="5" spans="1:8" x14ac:dyDescent="0.25">
      <c r="A5">
        <v>4</v>
      </c>
      <c r="B5" t="s">
        <v>14</v>
      </c>
      <c r="C5">
        <v>4</v>
      </c>
      <c r="D5" t="s">
        <v>36</v>
      </c>
      <c r="E5" s="7">
        <v>10.52</v>
      </c>
      <c r="G5" t="s">
        <v>12</v>
      </c>
      <c r="H5" s="1" t="s">
        <v>10</v>
      </c>
    </row>
    <row r="6" spans="1:8" x14ac:dyDescent="0.25">
      <c r="A6">
        <v>5</v>
      </c>
      <c r="B6" t="s">
        <v>16</v>
      </c>
      <c r="C6">
        <v>1</v>
      </c>
      <c r="D6" t="s">
        <v>37</v>
      </c>
      <c r="E6" s="2">
        <v>7.16</v>
      </c>
      <c r="F6" s="2"/>
      <c r="G6" s="1"/>
      <c r="H6" s="1" t="s">
        <v>10</v>
      </c>
    </row>
    <row r="7" spans="1:8" x14ac:dyDescent="0.25">
      <c r="A7">
        <v>6</v>
      </c>
      <c r="B7" t="s">
        <v>13</v>
      </c>
      <c r="C7">
        <v>3</v>
      </c>
      <c r="D7" t="s">
        <v>38</v>
      </c>
      <c r="E7" s="2">
        <v>2.76</v>
      </c>
      <c r="F7" s="2">
        <v>5.59</v>
      </c>
      <c r="G7" s="1"/>
      <c r="H7" s="1" t="s">
        <v>10</v>
      </c>
    </row>
    <row r="8" spans="1:8" x14ac:dyDescent="0.25">
      <c r="A8">
        <v>7</v>
      </c>
      <c r="B8" t="s">
        <v>20</v>
      </c>
      <c r="C8">
        <v>5</v>
      </c>
      <c r="D8" t="s">
        <v>39</v>
      </c>
      <c r="E8" s="2">
        <v>7.57</v>
      </c>
      <c r="F8" s="3">
        <v>0</v>
      </c>
      <c r="G8" t="s">
        <v>21</v>
      </c>
      <c r="H8" s="1" t="s">
        <v>10</v>
      </c>
    </row>
    <row r="9" spans="1:8" x14ac:dyDescent="0.25">
      <c r="A9">
        <v>8</v>
      </c>
      <c r="B9" t="s">
        <v>15</v>
      </c>
      <c r="C9">
        <v>3</v>
      </c>
      <c r="D9" t="s">
        <v>40</v>
      </c>
      <c r="E9" s="2">
        <v>9</v>
      </c>
      <c r="F9" s="4">
        <v>1.56</v>
      </c>
      <c r="H9" s="1" t="s">
        <v>10</v>
      </c>
    </row>
    <row r="10" spans="1:8" x14ac:dyDescent="0.25">
      <c r="A10">
        <v>9</v>
      </c>
      <c r="B10" t="s">
        <v>17</v>
      </c>
      <c r="C10">
        <v>5</v>
      </c>
      <c r="D10" t="s">
        <v>44</v>
      </c>
      <c r="E10" s="8">
        <v>7</v>
      </c>
      <c r="F10" s="9">
        <v>3.3</v>
      </c>
      <c r="G10" t="s">
        <v>18</v>
      </c>
      <c r="H10" t="s">
        <v>33</v>
      </c>
    </row>
    <row r="11" spans="1:8" x14ac:dyDescent="0.25">
      <c r="A11">
        <v>10</v>
      </c>
      <c r="B11" t="s">
        <v>22</v>
      </c>
      <c r="C11">
        <v>1</v>
      </c>
      <c r="D11" t="s">
        <v>41</v>
      </c>
      <c r="E11" s="8">
        <v>7.77</v>
      </c>
      <c r="H11" s="1" t="s">
        <v>10</v>
      </c>
    </row>
    <row r="12" spans="1:8" x14ac:dyDescent="0.25">
      <c r="A12">
        <v>11</v>
      </c>
      <c r="B12" t="s">
        <v>23</v>
      </c>
      <c r="C12">
        <v>1</v>
      </c>
      <c r="D12" t="s">
        <v>42</v>
      </c>
      <c r="E12" s="8">
        <v>1.52</v>
      </c>
      <c r="H12" s="1" t="s">
        <v>10</v>
      </c>
    </row>
    <row r="13" spans="1:8" x14ac:dyDescent="0.25">
      <c r="A13">
        <v>12</v>
      </c>
      <c r="B13" t="s">
        <v>24</v>
      </c>
      <c r="C13">
        <v>1</v>
      </c>
      <c r="D13" t="s">
        <v>43</v>
      </c>
      <c r="E13" s="8">
        <v>1.17</v>
      </c>
      <c r="H13" s="1" t="s">
        <v>10</v>
      </c>
    </row>
    <row r="14" spans="1:8" x14ac:dyDescent="0.25">
      <c r="A14">
        <v>13</v>
      </c>
      <c r="B14" t="s">
        <v>25</v>
      </c>
      <c r="C14">
        <v>3</v>
      </c>
      <c r="D14" t="s">
        <v>45</v>
      </c>
      <c r="E14" s="12" t="s">
        <v>46</v>
      </c>
      <c r="H14" t="s">
        <v>26</v>
      </c>
    </row>
    <row r="15" spans="1:8" x14ac:dyDescent="0.25">
      <c r="A15">
        <v>14</v>
      </c>
      <c r="B15" t="s">
        <v>27</v>
      </c>
      <c r="C15">
        <v>1</v>
      </c>
      <c r="D15" t="s">
        <v>28</v>
      </c>
      <c r="E15" s="2">
        <v>25.99</v>
      </c>
      <c r="H15" s="1" t="s">
        <v>28</v>
      </c>
    </row>
    <row r="19" spans="4:8" x14ac:dyDescent="0.25">
      <c r="D19" s="6" t="s">
        <v>31</v>
      </c>
      <c r="E19" s="2">
        <f>SUM(E6:E9)+E15</f>
        <v>52.480000000000004</v>
      </c>
      <c r="F19" s="2">
        <f>F9+F7</f>
        <v>7.15</v>
      </c>
      <c r="G19" s="2">
        <f>SUM(E19:F19)</f>
        <v>59.63</v>
      </c>
    </row>
    <row r="20" spans="4:8" x14ac:dyDescent="0.25">
      <c r="D20" s="6" t="s">
        <v>32</v>
      </c>
      <c r="E20" s="10">
        <f>SUM(E2:E5)</f>
        <v>23.630000000000003</v>
      </c>
      <c r="F20" s="7">
        <f>F10+F4+F2</f>
        <v>9.9500000000000011</v>
      </c>
      <c r="G20" s="7">
        <f>SUM(E20:F20)</f>
        <v>33.580000000000005</v>
      </c>
    </row>
    <row r="22" spans="4:8" x14ac:dyDescent="0.25">
      <c r="E22" s="6" t="s">
        <v>29</v>
      </c>
      <c r="F22">
        <v>1.1499999999999999</v>
      </c>
    </row>
    <row r="24" spans="4:8" ht="18.75" x14ac:dyDescent="0.3">
      <c r="E24" s="11" t="s">
        <v>30</v>
      </c>
    </row>
    <row r="25" spans="4:8" x14ac:dyDescent="0.25">
      <c r="E25" s="7">
        <f>G20+G19*F22</f>
        <v>102.15450000000001</v>
      </c>
    </row>
    <row r="26" spans="4:8" x14ac:dyDescent="0.25">
      <c r="H26" s="5">
        <v>0.03</v>
      </c>
    </row>
  </sheetData>
  <hyperlinks>
    <hyperlink ref="H5" r:id="rId1" xr:uid="{23658DED-FD76-4C24-A5E2-91FF13C44E8E}"/>
    <hyperlink ref="H7" r:id="rId2" xr:uid="{6BDAC8F8-1877-4CB3-8247-CED8789400D0}"/>
    <hyperlink ref="H8" r:id="rId3" xr:uid="{A90ECC61-BBC8-473F-B0B6-ED98E816B181}"/>
    <hyperlink ref="H6" r:id="rId4" xr:uid="{0162EDAC-20A2-4D97-88C3-932115946167}"/>
    <hyperlink ref="H9" r:id="rId5" xr:uid="{2B579566-7351-4001-B467-7AE14D1BE309}"/>
    <hyperlink ref="H2" r:id="rId6" xr:uid="{1F54F4FE-D1A8-43DA-9E75-29C07D09CB93}"/>
    <hyperlink ref="H3" r:id="rId7" xr:uid="{29FAF547-01C9-4098-BC8F-2AF279ECC382}"/>
    <hyperlink ref="H4" r:id="rId8" xr:uid="{D5B3F6C8-1BF5-4978-B414-95696F39BE25}"/>
    <hyperlink ref="H11" r:id="rId9" xr:uid="{27BB0205-0FC8-47FE-95DD-00E7D155E4A2}"/>
    <hyperlink ref="H12" r:id="rId10" xr:uid="{2C741165-C0AF-4DBD-8D7F-4C82C59D6E27}"/>
    <hyperlink ref="H13" r:id="rId11" xr:uid="{07AC4F73-ED05-45E1-9E5D-CFED507062F3}"/>
    <hyperlink ref="H15" r:id="rId12" xr:uid="{77FFE69D-C4F4-4CF6-B161-9CAD8E3D9D3F}"/>
  </hyperlinks>
  <pageMargins left="0.7" right="0.7" top="0.75" bottom="0.75" header="0.3" footer="0.3"/>
  <pageSetup paperSize="9" orientation="portrait" horizontalDpi="0" verticalDpi="0" r:id="rId1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Scharonow</dc:creator>
  <cp:lastModifiedBy>Mark Scharonow</cp:lastModifiedBy>
  <dcterms:created xsi:type="dcterms:W3CDTF">2026-03-28T17:29:20Z</dcterms:created>
  <dcterms:modified xsi:type="dcterms:W3CDTF">2026-04-02T23:40:29Z</dcterms:modified>
</cp:coreProperties>
</file>